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Plan" sheetId="1" state="visible" r:id="rId1"/>
    <sheet xmlns:r="http://schemas.openxmlformats.org/officeDocument/2006/relationships" name="Status Summary" sheetId="2" state="visible" r:id="rId2"/>
  </sheets>
  <definedNames>
    <definedName name="_xlnm._FilterDatabase" localSheetId="0" hidden="1">'7-Day Plan'!$A$1:$L$40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6B7785"/>
      <sz val="9"/>
    </font>
    <font>
      <name val="Arial"/>
      <b val="1"/>
      <sz val="10"/>
    </font>
    <font>
      <name val="Arial"/>
      <b val="1"/>
      <color rgb="001F9D57"/>
      <sz val="10"/>
    </font>
    <font>
      <name val="Arial"/>
      <b val="1"/>
      <color rgb="006B7785"/>
      <sz val="10"/>
    </font>
    <font>
      <name val="Arial"/>
      <b val="1"/>
      <color rgb="008A5A00"/>
      <sz val="10"/>
    </font>
    <font>
      <name val="Arial"/>
      <b val="1"/>
      <color rgb="001F6FB2"/>
      <sz val="14"/>
    </font>
    <font>
      <name val="Arial"/>
      <color rgb="006B7785"/>
      <sz val="10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F2233"/>
      </patternFill>
    </fill>
    <fill>
      <patternFill patternType="solid">
        <fgColor rgb="00E6F6EC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F2F5F9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D5DEE7"/>
      </left>
      <right style="thin">
        <color rgb="00D5DEE7"/>
      </right>
      <top style="thin">
        <color rgb="00D5DEE7"/>
      </top>
      <bottom style="thin">
        <color rgb="00D5DE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1" fillId="2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5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24" customWidth="1" min="3" max="3"/>
    <col width="13" customWidth="1" min="4" max="4"/>
    <col width="34" customWidth="1" min="5" max="5"/>
    <col width="72" customWidth="1" min="6" max="6"/>
    <col width="42" customWidth="1" min="7" max="7"/>
    <col width="13" customWidth="1" min="8" max="8"/>
    <col width="13" customWidth="1" min="9" max="9"/>
    <col width="12" customWidth="1" min="10" max="10"/>
    <col width="12" customWidth="1" min="11" max="11"/>
    <col width="24" customWidth="1" min="12" max="12"/>
  </cols>
  <sheetData>
    <row r="1" ht="30" customHeight="1">
      <c r="A1" s="1" t="inlineStr">
        <is>
          <t>#</t>
        </is>
      </c>
      <c r="B1" s="1" t="inlineStr">
        <is>
          <t>Day</t>
        </is>
      </c>
      <c r="C1" s="1" t="inlineStr">
        <is>
          <t>Theme</t>
        </is>
      </c>
      <c r="D1" s="1" t="inlineStr">
        <is>
          <t>Phase</t>
        </is>
      </c>
      <c r="E1" s="1" t="inlineStr">
        <is>
          <t>Task</t>
        </is>
      </c>
      <c r="F1" s="1" t="inlineStr">
        <is>
          <t>What's involved (scope of work)</t>
        </is>
      </c>
      <c r="G1" s="1" t="inlineStr">
        <is>
          <t>Deliverable / Done when</t>
        </is>
      </c>
      <c r="H1" s="1" t="inlineStr">
        <is>
          <t>Owner</t>
        </is>
      </c>
      <c r="I1" s="1" t="inlineStr">
        <is>
          <t>Status</t>
        </is>
      </c>
      <c r="J1" s="1" t="inlineStr">
        <is>
          <t>Start Date</t>
        </is>
      </c>
      <c r="K1" s="1" t="inlineStr">
        <is>
          <t>End Date</t>
        </is>
      </c>
      <c r="L1" s="1" t="inlineStr">
        <is>
          <t>Notes</t>
        </is>
      </c>
    </row>
    <row r="2" ht="75" customHeight="1">
      <c r="A2" s="2" t="n">
        <v>1</v>
      </c>
      <c r="B2" s="3" t="n">
        <v>1</v>
      </c>
      <c r="C2" s="4" t="inlineStr">
        <is>
          <t>Foundation &amp; Infrastructure</t>
        </is>
      </c>
      <c r="D2" s="5" t="inlineStr">
        <is>
          <t>Foundation</t>
        </is>
      </c>
      <c r="E2" s="6" t="inlineStr">
        <is>
          <t>Unify the two repositories into one app</t>
        </is>
      </c>
      <c r="F2" s="5" t="inlineStr">
        <is>
          <t>Merge the separate Odoo and Zoho ZATCA-middleware codebases into a single Next.js 16 + TypeScript application that shares one ZATCA compliance core with pluggable accounting-software adapters. Establish the repository structure, dependency baseline and build pipeline.</t>
        </is>
      </c>
      <c r="G2" s="5" t="inlineStr">
        <is>
          <t>zatca-middleware-dev builds green; shared core + adapter layout in place</t>
        </is>
      </c>
      <c r="H2" s="2" t="inlineStr">
        <is>
          <t>Claude</t>
        </is>
      </c>
      <c r="I2" s="7" t="inlineStr">
        <is>
          <t>Done</t>
        </is>
      </c>
      <c r="J2" s="2" t="inlineStr"/>
      <c r="K2" s="2" t="inlineStr"/>
      <c r="L2" s="5" t="inlineStr">
        <is>
          <t>Pushed to GitHub</t>
        </is>
      </c>
    </row>
    <row r="3" ht="60" customHeight="1">
      <c r="A3" s="2" t="n">
        <v>2</v>
      </c>
      <c r="B3" s="3" t="n">
        <v>1</v>
      </c>
      <c r="C3" s="4" t="inlineStr">
        <is>
          <t>Foundation &amp; Infrastructure</t>
        </is>
      </c>
      <c r="D3" s="5" t="inlineStr">
        <is>
          <t>Foundation</t>
        </is>
      </c>
      <c r="E3" s="6" t="inlineStr">
        <is>
          <t>Design &amp; apply the multi-tenant database</t>
        </is>
      </c>
      <c r="F3" s="5" t="inlineStr">
        <is>
          <t>Design and apply the full PostgreSQL schema on Supabase (organizations, tenant members, ZATCA profiles, invoices, transaction logs, Odoo/Zoho configs, async jobs) with Row-Level-Security so every business can only read its own data.</t>
        </is>
      </c>
      <c r="G3" s="5" t="inlineStr">
        <is>
          <t>10 tables + RLS policies live; tenant data provably isolated</t>
        </is>
      </c>
      <c r="H3" s="2" t="inlineStr">
        <is>
          <t>Claude</t>
        </is>
      </c>
      <c r="I3" s="7" t="inlineStr">
        <is>
          <t>Done</t>
        </is>
      </c>
      <c r="J3" s="2" t="inlineStr"/>
      <c r="K3" s="2" t="inlineStr"/>
      <c r="L3" s="5" t="inlineStr">
        <is>
          <t>migrations 001-003</t>
        </is>
      </c>
    </row>
    <row r="4" ht="60" customHeight="1">
      <c r="A4" s="2" t="n">
        <v>3</v>
      </c>
      <c r="B4" s="3" t="n">
        <v>1</v>
      </c>
      <c r="C4" s="4" t="inlineStr">
        <is>
          <t>Foundation &amp; Infrastructure</t>
        </is>
      </c>
      <c r="D4" s="5" t="inlineStr">
        <is>
          <t>Foundation</t>
        </is>
      </c>
      <c r="E4" s="6" t="inlineStr">
        <is>
          <t>Google authentication + sessions</t>
        </is>
      </c>
      <c r="F4" s="5" t="inlineStr">
        <is>
          <t>Implement Sign-in with Google via Supabase Auth with cookie-based sessions and middleware route-protection, replacing the old custom email/password model. Unauthenticated users are redirected to login.</t>
        </is>
      </c>
      <c r="G4" s="5" t="inlineStr">
        <is>
          <t>Google login works end-to-end; protected routes enforced</t>
        </is>
      </c>
      <c r="H4" s="2" t="inlineStr">
        <is>
          <t>Claude</t>
        </is>
      </c>
      <c r="I4" s="7" t="inlineStr">
        <is>
          <t>Done</t>
        </is>
      </c>
      <c r="J4" s="2" t="inlineStr"/>
      <c r="K4" s="2" t="inlineStr"/>
      <c r="L4" s="5" t="inlineStr">
        <is>
          <t>verified live</t>
        </is>
      </c>
    </row>
    <row r="5" ht="46" customHeight="1">
      <c r="A5" s="2" t="n">
        <v>4</v>
      </c>
      <c r="B5" s="3" t="n">
        <v>1</v>
      </c>
      <c r="C5" s="4" t="inlineStr">
        <is>
          <t>Foundation &amp; Infrastructure</t>
        </is>
      </c>
      <c r="D5" s="5" t="inlineStr">
        <is>
          <t>Foundation</t>
        </is>
      </c>
      <c r="E5" s="6" t="inlineStr">
        <is>
          <t>Automatic tenant provisioning</t>
        </is>
      </c>
      <c r="F5" s="5" t="inlineStr">
        <is>
          <t>On a user's first login, automatically create their organization and link them as a member — establishing the tenant boundary used by every query and policy in the system.</t>
        </is>
      </c>
      <c r="G5" s="5" t="inlineStr">
        <is>
          <t>Org + membership created on first login (DB-verified)</t>
        </is>
      </c>
      <c r="H5" s="2" t="inlineStr">
        <is>
          <t>Claude</t>
        </is>
      </c>
      <c r="I5" s="7" t="inlineStr">
        <is>
          <t>Done</t>
        </is>
      </c>
      <c r="J5" s="2" t="inlineStr"/>
      <c r="K5" s="2" t="inlineStr"/>
      <c r="L5" s="5" t="inlineStr">
        <is>
          <t>multi-tenant isolation confirmed</t>
        </is>
      </c>
    </row>
    <row r="6" ht="60" customHeight="1">
      <c r="A6" s="2" t="n">
        <v>5</v>
      </c>
      <c r="B6" s="3" t="n">
        <v>1</v>
      </c>
      <c r="C6" s="4" t="inlineStr">
        <is>
          <t>Foundation &amp; Infrastructure</t>
        </is>
      </c>
      <c r="D6" s="5" t="inlineStr">
        <is>
          <t>Foundation</t>
        </is>
      </c>
      <c r="E6" s="6" t="inlineStr">
        <is>
          <t>Encrypt secrets at rest (AES-256-GCM)</t>
        </is>
      </c>
      <c r="F6" s="5" t="inlineStr">
        <is>
          <t>Add authenticated AES-256-GCM encryption so ERP credentials, ZATCA private keys and CSIDs are stored only as ciphertext and decrypted in memory when needed; master key held in environment config.</t>
        </is>
      </c>
      <c r="G6" s="5" t="inlineStr">
        <is>
          <t>All sensitive credentials encrypted at rest</t>
        </is>
      </c>
      <c r="H6" s="2" t="inlineStr">
        <is>
          <t>Claude</t>
        </is>
      </c>
      <c r="I6" s="7" t="inlineStr">
        <is>
          <t>Done</t>
        </is>
      </c>
      <c r="J6" s="2" t="inlineStr"/>
      <c r="K6" s="2" t="inlineStr"/>
      <c r="L6" s="5" t="inlineStr">
        <is>
          <t>fixes a prior cleartext gap</t>
        </is>
      </c>
    </row>
    <row r="7" ht="46" customHeight="1">
      <c r="A7" s="2" t="n">
        <v>6</v>
      </c>
      <c r="B7" s="3" t="n">
        <v>1</v>
      </c>
      <c r="C7" s="4" t="inlineStr">
        <is>
          <t>Foundation &amp; Infrastructure</t>
        </is>
      </c>
      <c r="D7" s="5" t="inlineStr">
        <is>
          <t>Foundation</t>
        </is>
      </c>
      <c r="E7" s="6" t="inlineStr">
        <is>
          <t>ZATCA environment resolver (Demo/Real)</t>
        </is>
      </c>
      <c r="F7" s="5" t="inlineStr">
        <is>
          <t>Build the configurable resolver that maps a tenant's environment to the correct ZATCA API base URL: Demo -&gt; simulation (OTP 123456, nothing legally filed) vs Real -&gt; core (live filing).</t>
        </is>
      </c>
      <c r="G7" s="5" t="inlineStr">
        <is>
          <t>Switchable endpoints; Demo vs Real cleanly separated</t>
        </is>
      </c>
      <c r="H7" s="2" t="inlineStr">
        <is>
          <t>Claude</t>
        </is>
      </c>
      <c r="I7" s="7" t="inlineStr">
        <is>
          <t>Done</t>
        </is>
      </c>
      <c r="J7" s="2" t="inlineStr"/>
      <c r="K7" s="2" t="inlineStr"/>
      <c r="L7" s="5" t="inlineStr"/>
    </row>
    <row r="8" ht="60" customHeight="1">
      <c r="A8" s="2" t="n">
        <v>7</v>
      </c>
      <c r="B8" s="8" t="n">
        <v>2</v>
      </c>
      <c r="C8" s="4" t="inlineStr">
        <is>
          <t>ZATCA Core &amp; Onboarding</t>
        </is>
      </c>
      <c r="D8" s="5" t="inlineStr">
        <is>
          <t>ZATCA Core</t>
        </is>
      </c>
      <c r="E8" s="6" t="inlineStr">
        <is>
          <t>Consolidate the Phase-2 compliance core</t>
        </is>
      </c>
      <c r="F8" s="5" t="inlineStr">
        <is>
          <t>Bring the proven ZATCA Phase-2 engine into the unified app: UBL 2.1 XML generation (standard + simplified, 388/381/383), SHA-256 hashing with canonicalization, ECDSA secp256k1 signing, XAdES signature block, and TLV QR encoding.</t>
        </is>
      </c>
      <c r="G8" s="5" t="inlineStr">
        <is>
          <t>Shared compliance core compiles and runs in the unified app</t>
        </is>
      </c>
      <c r="H8" s="2" t="inlineStr">
        <is>
          <t>Claude</t>
        </is>
      </c>
      <c r="I8" s="7" t="inlineStr">
        <is>
          <t>Done</t>
        </is>
      </c>
      <c r="J8" s="2" t="inlineStr"/>
      <c r="K8" s="2" t="inlineStr"/>
      <c r="L8" s="5" t="inlineStr">
        <is>
          <t>from the tested repos</t>
        </is>
      </c>
    </row>
    <row r="9" ht="60" customHeight="1">
      <c r="A9" s="2" t="n">
        <v>8</v>
      </c>
      <c r="B9" s="8" t="n">
        <v>2</v>
      </c>
      <c r="C9" s="4" t="inlineStr">
        <is>
          <t>ZATCA Core &amp; Onboarding</t>
        </is>
      </c>
      <c r="D9" s="5" t="inlineStr">
        <is>
          <t>ZATCA Core</t>
        </is>
      </c>
      <c r="E9" s="6" t="inlineStr">
        <is>
          <t>Wire ZATCA onboarding into the tenant flow</t>
        </is>
      </c>
      <c r="F9" s="5" t="inlineStr">
        <is>
          <t>Connect the proven onboarding sequence — generate keypair + CSR, request the Compliance CSID, run the compliance sample-invoice checks, then issue the Production CSID — to the per-tenant journey, executed against ZATCA simulation.</t>
        </is>
      </c>
      <c r="G9" s="5" t="inlineStr">
        <is>
          <t>A tenant completes full onboarding from the UI (OTP 123456)</t>
        </is>
      </c>
      <c r="H9" s="2" t="inlineStr">
        <is>
          <t>Claude</t>
        </is>
      </c>
      <c r="I9" s="7" t="inlineStr">
        <is>
          <t>Done</t>
        </is>
      </c>
      <c r="J9" s="2" t="inlineStr"/>
      <c r="K9" s="2" t="inlineStr"/>
      <c r="L9" s="5" t="inlineStr">
        <is>
          <t>runs against simulation</t>
        </is>
      </c>
    </row>
    <row r="10" ht="60" customHeight="1">
      <c r="A10" s="2" t="n">
        <v>9</v>
      </c>
      <c r="B10" s="8" t="n">
        <v>2</v>
      </c>
      <c r="C10" s="4" t="inlineStr">
        <is>
          <t>ZATCA Core &amp; Onboarding</t>
        </is>
      </c>
      <c r="D10" s="5" t="inlineStr">
        <is>
          <t>ZATCA Core</t>
        </is>
      </c>
      <c r="E10" s="6" t="inlineStr">
        <is>
          <t>Fix the production-CSID issuance</t>
        </is>
      </c>
      <c r="F10" s="5" t="inlineStr">
        <is>
          <t>Audit and correct the onboarding finalize step, which currently persists a placeholder production CSID instead of the real certificate returned by ZATCA; ensure the genuine CSID is stored and used for clearance.</t>
        </is>
      </c>
      <c r="G10" s="5" t="inlineStr">
        <is>
          <t>Real production CSID stored and used for signing/clearance</t>
        </is>
      </c>
      <c r="H10" s="2" t="inlineStr">
        <is>
          <t>Claude</t>
        </is>
      </c>
      <c r="I10" s="9" t="inlineStr">
        <is>
          <t>To Do</t>
        </is>
      </c>
      <c r="J10" s="2" t="inlineStr"/>
      <c r="K10" s="2" t="inlineStr"/>
      <c r="L10" s="5" t="inlineStr">
        <is>
          <t>found in end-to-end audit</t>
        </is>
      </c>
    </row>
    <row r="11" ht="60" customHeight="1">
      <c r="A11" s="2" t="n">
        <v>10</v>
      </c>
      <c r="B11" s="8" t="n">
        <v>2</v>
      </c>
      <c r="C11" s="4" t="inlineStr">
        <is>
          <t>ZATCA Core &amp; Onboarding</t>
        </is>
      </c>
      <c r="D11" s="5" t="inlineStr">
        <is>
          <t>ZATCA Core</t>
        </is>
      </c>
      <c r="E11" s="6" t="inlineStr">
        <is>
          <t>Validate crypto against the official ZATCA SDK</t>
        </is>
      </c>
      <c r="F11" s="5" t="inlineStr">
        <is>
          <t>Validate canonicalization, the invoice hash, and the digital signature byte-for-byte against the official ZATCA Java SDK reference output for known invoices — the single highest-risk correctness item before go-live.</t>
        </is>
      </c>
      <c r="G11" s="5" t="inlineStr">
        <is>
          <t>Hash + signature match the SDK reference exactly</t>
        </is>
      </c>
      <c r="H11" s="2" t="inlineStr">
        <is>
          <t>Claude</t>
        </is>
      </c>
      <c r="I11" s="9" t="inlineStr">
        <is>
          <t>To Do</t>
        </is>
      </c>
      <c r="J11" s="2" t="inlineStr"/>
      <c r="K11" s="2" t="inlineStr"/>
      <c r="L11" s="5" t="inlineStr">
        <is>
          <t>correctness gate</t>
        </is>
      </c>
    </row>
    <row r="12" ht="46" customHeight="1">
      <c r="A12" s="2" t="n">
        <v>11</v>
      </c>
      <c r="B12" s="8" t="n">
        <v>2</v>
      </c>
      <c r="C12" s="4" t="inlineStr">
        <is>
          <t>ZATCA Core &amp; Onboarding</t>
        </is>
      </c>
      <c r="D12" s="5" t="inlineStr">
        <is>
          <t>ZATCA Core</t>
        </is>
      </c>
      <c r="E12" s="6" t="inlineStr">
        <is>
          <t>Demo &lt;-&gt; Real environment plumbing</t>
        </is>
      </c>
      <c r="F12" s="5" t="inlineStr">
        <is>
          <t>Finish wiring so a tenant's onboarding, credentials and submissions consistently target the chosen ZATCA environment, with Demo and Real credentials stored separately and never mixed.</t>
        </is>
      </c>
      <c r="G12" s="5" t="inlineStr">
        <is>
          <t>Per-tenant environment honoured across onboarding + clearance</t>
        </is>
      </c>
      <c r="H12" s="2" t="inlineStr">
        <is>
          <t>Claude</t>
        </is>
      </c>
      <c r="I12" s="10" t="inlineStr">
        <is>
          <t>In Progress</t>
        </is>
      </c>
      <c r="J12" s="2" t="inlineStr"/>
      <c r="K12" s="2" t="inlineStr"/>
      <c r="L12" s="5" t="inlineStr"/>
    </row>
    <row r="13" ht="60" customHeight="1">
      <c r="A13" s="2" t="n">
        <v>12</v>
      </c>
      <c r="B13" s="3" t="n">
        <v>3</v>
      </c>
      <c r="C13" s="4" t="inlineStr">
        <is>
          <t>Adapters &amp; Async Pipeline</t>
        </is>
      </c>
      <c r="D13" s="5" t="inlineStr">
        <is>
          <t>Adapters</t>
        </is>
      </c>
      <c r="E13" s="6" t="inlineStr">
        <is>
          <t>Odoo adapter (JSON-RPC + webhook + write-back)</t>
        </is>
      </c>
      <c r="F13" s="5" t="inlineStr">
        <is>
          <t>Integrate the Odoo adapter: JSON-RPC client, inbound webhook (pull/push), automatic provisioning of x_zatca_* fields on account.move, and write-back of UUID / QR / signed PDF / status to the invoice record.</t>
        </is>
      </c>
      <c r="G13" s="5" t="inlineStr">
        <is>
          <t>Odoo invoice -&gt; clearance -&gt; write-back works on simulation</t>
        </is>
      </c>
      <c r="H13" s="2" t="inlineStr">
        <is>
          <t>Claude</t>
        </is>
      </c>
      <c r="I13" s="7" t="inlineStr">
        <is>
          <t>Done</t>
        </is>
      </c>
      <c r="J13" s="2" t="inlineStr"/>
      <c r="K13" s="2" t="inlineStr"/>
      <c r="L13" s="5" t="inlineStr">
        <is>
          <t>ported from the Odoo repo</t>
        </is>
      </c>
    </row>
    <row r="14" ht="60" customHeight="1">
      <c r="A14" s="2" t="n">
        <v>13</v>
      </c>
      <c r="B14" s="3" t="n">
        <v>3</v>
      </c>
      <c r="C14" s="4" t="inlineStr">
        <is>
          <t>Adapters &amp; Async Pipeline</t>
        </is>
      </c>
      <c r="D14" s="5" t="inlineStr">
        <is>
          <t>Adapters</t>
        </is>
      </c>
      <c r="E14" s="6" t="inlineStr">
        <is>
          <t>Zoho Books adapter (OAuth + webhook + write-back)</t>
        </is>
      </c>
      <c r="F14" s="5" t="inlineStr">
        <is>
          <t>Integrate the Zoho Books adapter: OAuth2 refresh-token authentication, region-aware API, inbound webhook, cf_zatca_* custom fields, and write-back via custom fields + timeline comments + file attachments.</t>
        </is>
      </c>
      <c r="G14" s="5" t="inlineStr">
        <is>
          <t>Zoho invoice -&gt; clearance -&gt; write-back works on simulation</t>
        </is>
      </c>
      <c r="H14" s="2" t="inlineStr">
        <is>
          <t>Claude</t>
        </is>
      </c>
      <c r="I14" s="7" t="inlineStr">
        <is>
          <t>Done</t>
        </is>
      </c>
      <c r="J14" s="2" t="inlineStr"/>
      <c r="K14" s="2" t="inlineStr"/>
      <c r="L14" s="5" t="inlineStr"/>
    </row>
    <row r="15" ht="60" customHeight="1">
      <c r="A15" s="2" t="n">
        <v>14</v>
      </c>
      <c r="B15" s="3" t="n">
        <v>3</v>
      </c>
      <c r="C15" s="4" t="inlineStr">
        <is>
          <t>Adapters &amp; Async Pipeline</t>
        </is>
      </c>
      <c r="D15" s="5" t="inlineStr">
        <is>
          <t>Adapters</t>
        </is>
      </c>
      <c r="E15" s="6" t="inlineStr">
        <is>
          <t>Real connection test + field provisioning</t>
        </is>
      </c>
      <c r="F15" s="5" t="inlineStr">
        <is>
          <t>Make connecting an accounting software genuinely call the live Odoo/Zoho API to authenticate; only mark 'connected' on real success, surface the real error otherwise, and run real custom-field provisioning. No fabricated states.</t>
        </is>
      </c>
      <c r="G15" s="5" t="inlineStr">
        <is>
          <t>Connection verified live; real ERP errors shown to the user</t>
        </is>
      </c>
      <c r="H15" s="2" t="inlineStr">
        <is>
          <t>Claude</t>
        </is>
      </c>
      <c r="I15" s="7" t="inlineStr">
        <is>
          <t>Done</t>
        </is>
      </c>
      <c r="J15" s="2" t="inlineStr"/>
      <c r="K15" s="2" t="inlineStr"/>
      <c r="L15" s="5" t="inlineStr">
        <is>
          <t>'no fake' requirement</t>
        </is>
      </c>
    </row>
    <row r="16" ht="60" customHeight="1">
      <c r="A16" s="2" t="n">
        <v>15</v>
      </c>
      <c r="B16" s="3" t="n">
        <v>3</v>
      </c>
      <c r="C16" s="4" t="inlineStr">
        <is>
          <t>Adapters &amp; Async Pipeline</t>
        </is>
      </c>
      <c r="D16" s="5" t="inlineStr">
        <is>
          <t>Pipeline</t>
        </is>
      </c>
      <c r="E16" s="6" t="inlineStr">
        <is>
          <t>Asynchronous job queue + worker</t>
        </is>
      </c>
      <c r="F16" s="5" t="inlineStr">
        <is>
          <t>Build the async pipeline so clearance is reliable at enterprise/bank volume: a Postgres jobs table, a Supabase Database Webhook that triggers /api/worker, automatic retry with back-off, idempotency per invoice, and a Vercel Cron safety sweep.</t>
        </is>
      </c>
      <c r="G16" s="5" t="inlineStr">
        <is>
          <t>Webhook acknowledges instantly; worker processes with retries</t>
        </is>
      </c>
      <c r="H16" s="2" t="inlineStr">
        <is>
          <t>Claude</t>
        </is>
      </c>
      <c r="I16" s="9" t="inlineStr">
        <is>
          <t>To Do</t>
        </is>
      </c>
      <c r="J16" s="2" t="inlineStr"/>
      <c r="K16" s="2" t="inlineStr"/>
      <c r="L16" s="5" t="inlineStr">
        <is>
          <t>per Architecture doc</t>
        </is>
      </c>
    </row>
    <row r="17" ht="60" customHeight="1">
      <c r="A17" s="2" t="n">
        <v>16</v>
      </c>
      <c r="B17" s="3" t="n">
        <v>3</v>
      </c>
      <c r="C17" s="4" t="inlineStr">
        <is>
          <t>Adapters &amp; Async Pipeline</t>
        </is>
      </c>
      <c r="D17" s="5" t="inlineStr">
        <is>
          <t>Pipeline</t>
        </is>
      </c>
      <c r="E17" s="6" t="inlineStr">
        <is>
          <t>Verify the full clearance loop end-to-end</t>
        </is>
      </c>
      <c r="F17" s="5" t="inlineStr">
        <is>
          <t>Verify the complete pipeline on simulation — receive invoice, classify (B2B clearance / B2C reporting), build XML, sign, submit, write back and persist — including credit and debit notes.</t>
        </is>
      </c>
      <c r="G17" s="5" t="inlineStr">
        <is>
          <t>Cleared/reported invoices persist correctly and reconcile</t>
        </is>
      </c>
      <c r="H17" s="2" t="inlineStr">
        <is>
          <t>Claude</t>
        </is>
      </c>
      <c r="I17" s="10" t="inlineStr">
        <is>
          <t>In Progress</t>
        </is>
      </c>
      <c r="J17" s="2" t="inlineStr"/>
      <c r="K17" s="2" t="inlineStr"/>
      <c r="L17" s="5" t="inlineStr">
        <is>
          <t>needs migration 003 applied</t>
        </is>
      </c>
    </row>
    <row r="18" ht="75" customHeight="1">
      <c r="A18" s="2" t="n">
        <v>17</v>
      </c>
      <c r="B18" s="8" t="n">
        <v>4</v>
      </c>
      <c r="C18" s="4" t="inlineStr">
        <is>
          <t>Application Surfaces (UX)</t>
        </is>
      </c>
      <c r="D18" s="5" t="inlineStr">
        <is>
          <t>UX</t>
        </is>
      </c>
      <c r="E18" s="6" t="inlineStr">
        <is>
          <t>Navigable, honest onboarding journey</t>
        </is>
      </c>
      <c r="F18" s="5" t="inlineStr">
        <is>
          <t>Rebuild onboarding as a navigable journey: clickable steps, an always-visible live connection status with one-click re-test, accurate step-by-step ERP setup guides (copy-ready webhook URL, API key and the Odoo server-action code), and no dead-ends or false 'done' states.</t>
        </is>
      </c>
      <c r="G18" s="5" t="inlineStr">
        <is>
          <t>Any step reachable; connection manageable anytime; guides accurate</t>
        </is>
      </c>
      <c r="H18" s="2" t="inlineStr">
        <is>
          <t>Claude</t>
        </is>
      </c>
      <c r="I18" s="7" t="inlineStr">
        <is>
          <t>Done</t>
        </is>
      </c>
      <c r="J18" s="2" t="inlineStr"/>
      <c r="K18" s="2" t="inlineStr"/>
      <c r="L18" s="5" t="inlineStr">
        <is>
          <t>fixed dead-ends found in audit</t>
        </is>
      </c>
    </row>
    <row r="19" ht="60" customHeight="1">
      <c r="A19" s="2" t="n">
        <v>18</v>
      </c>
      <c r="B19" s="8" t="n">
        <v>4</v>
      </c>
      <c r="C19" s="4" t="inlineStr">
        <is>
          <t>Application Surfaces (UX)</t>
        </is>
      </c>
      <c r="D19" s="5" t="inlineStr">
        <is>
          <t>UX</t>
        </is>
      </c>
      <c r="E19" s="6" t="inlineStr">
        <is>
          <t>Business profile (seller identity)</t>
        </is>
      </c>
      <c r="F19" s="5" t="inlineStr">
        <is>
          <t>Form to capture the legal seller identity used on every ZATCA invoice — legal name (EN/AR), VAT registration number, CRN, and the full registered address — written to the organization record.</t>
        </is>
      </c>
      <c r="G19" s="5" t="inlineStr">
        <is>
          <t>Profile saved per tenant; gates onboarding readiness</t>
        </is>
      </c>
      <c r="H19" s="2" t="inlineStr">
        <is>
          <t>Claude</t>
        </is>
      </c>
      <c r="I19" s="7" t="inlineStr">
        <is>
          <t>Done</t>
        </is>
      </c>
      <c r="J19" s="2" t="inlineStr"/>
      <c r="K19" s="2" t="inlineStr"/>
      <c r="L19" s="5" t="inlineStr"/>
    </row>
    <row r="20" ht="46" customHeight="1">
      <c r="A20" s="2" t="n">
        <v>19</v>
      </c>
      <c r="B20" s="8" t="n">
        <v>4</v>
      </c>
      <c r="C20" s="4" t="inlineStr">
        <is>
          <t>Application Surfaces (UX)</t>
        </is>
      </c>
      <c r="D20" s="5" t="inlineStr">
        <is>
          <t>UX</t>
        </is>
      </c>
      <c r="E20" s="6" t="inlineStr">
        <is>
          <t>Invoices registry — list + detail</t>
        </is>
      </c>
      <c r="F20" s="5" t="inlineStr">
        <is>
          <t>A consistent invoices registry on real tenant data: summary KPIs, a filterable/searchable table, and a detail view showing ZATCA status, UUID, the QR code and the signed XML.</t>
        </is>
      </c>
      <c r="G20" s="5" t="inlineStr">
        <is>
          <t>Tenant's real invoices listed; detail view works</t>
        </is>
      </c>
      <c r="H20" s="2" t="inlineStr">
        <is>
          <t>Claude</t>
        </is>
      </c>
      <c r="I20" s="7" t="inlineStr">
        <is>
          <t>Done</t>
        </is>
      </c>
      <c r="J20" s="2" t="inlineStr"/>
      <c r="K20" s="2" t="inlineStr"/>
      <c r="L20" s="5" t="inlineStr">
        <is>
          <t>replaced the old inconsistent page</t>
        </is>
      </c>
    </row>
    <row r="21" ht="46" customHeight="1">
      <c r="A21" s="2" t="n">
        <v>20</v>
      </c>
      <c r="B21" s="8" t="n">
        <v>4</v>
      </c>
      <c r="C21" s="4" t="inlineStr">
        <is>
          <t>Application Surfaces (UX)</t>
        </is>
      </c>
      <c r="D21" s="5" t="inlineStr">
        <is>
          <t>UX</t>
        </is>
      </c>
      <c r="E21" s="6" t="inlineStr">
        <is>
          <t>Dashboard on live data</t>
        </is>
      </c>
      <c r="F21" s="5" t="inlineStr">
        <is>
          <t>Replace the placeholder dashboard with live KPIs (cleared / reported / failed counts, SAR volume), a recent-invoices table, the persistent Demo-mode banner and the CSID-expiry warning.</t>
        </is>
      </c>
      <c r="G21" s="5" t="inlineStr">
        <is>
          <t>Dashboard reflects the tenant's real, current data</t>
        </is>
      </c>
      <c r="H21" s="2" t="inlineStr">
        <is>
          <t>Claude</t>
        </is>
      </c>
      <c r="I21" s="9" t="inlineStr">
        <is>
          <t>To Do</t>
        </is>
      </c>
      <c r="J21" s="2" t="inlineStr"/>
      <c r="K21" s="2" t="inlineStr"/>
      <c r="L21" s="5" t="inlineStr"/>
    </row>
    <row r="22" ht="60" customHeight="1">
      <c r="A22" s="2" t="n">
        <v>21</v>
      </c>
      <c r="B22" s="8" t="n">
        <v>4</v>
      </c>
      <c r="C22" s="4" t="inlineStr">
        <is>
          <t>Application Surfaces (UX)</t>
        </is>
      </c>
      <c r="D22" s="5" t="inlineStr">
        <is>
          <t>UX</t>
        </is>
      </c>
      <c r="E22" s="6" t="inlineStr">
        <is>
          <t>Settings — connection, API keys, team</t>
        </is>
      </c>
      <c r="F22" s="5" t="inlineStr">
        <is>
          <t>Build the three settings screens: manage the ERP connection (re-test / edit / disconnect), manage API keys (issue / revoke), and manage team members (invite colleagues) — replacing the legacy admin pages.</t>
        </is>
      </c>
      <c r="G22" s="5" t="inlineStr">
        <is>
          <t>Settings fully functional and tenant-scoped</t>
        </is>
      </c>
      <c r="H22" s="2" t="inlineStr">
        <is>
          <t>Claude</t>
        </is>
      </c>
      <c r="I22" s="9" t="inlineStr">
        <is>
          <t>To Do</t>
        </is>
      </c>
      <c r="J22" s="2" t="inlineStr"/>
      <c r="K22" s="2" t="inlineStr"/>
      <c r="L22" s="5" t="inlineStr"/>
    </row>
    <row r="23" ht="46" customHeight="1">
      <c r="A23" s="2" t="n">
        <v>22</v>
      </c>
      <c r="B23" s="8" t="n">
        <v>4</v>
      </c>
      <c r="C23" s="4" t="inlineStr">
        <is>
          <t>Application Surfaces (UX)</t>
        </is>
      </c>
      <c r="D23" s="5" t="inlineStr">
        <is>
          <t>UX</t>
        </is>
      </c>
      <c r="E23" s="6" t="inlineStr">
        <is>
          <t>Remove legacy pages; one consistent design</t>
        </is>
      </c>
      <c r="F23" s="5" t="inlineStr">
        <is>
          <t>Remove the leftover 'bank product', the old register page and the old admin pages so the application presents one coherent design and a single data model throughout.</t>
        </is>
      </c>
      <c r="G23" s="5" t="inlineStr">
        <is>
          <t>No legacy/Frankenstein pages remain</t>
        </is>
      </c>
      <c r="H23" s="2" t="inlineStr">
        <is>
          <t>Claude</t>
        </is>
      </c>
      <c r="I23" s="9" t="inlineStr">
        <is>
          <t>To Do</t>
        </is>
      </c>
      <c r="J23" s="2" t="inlineStr"/>
      <c r="K23" s="2" t="inlineStr"/>
      <c r="L23" s="5" t="inlineStr">
        <is>
          <t>consistency cleanup</t>
        </is>
      </c>
    </row>
    <row r="24" ht="60" customHeight="1">
      <c r="A24" s="2" t="n">
        <v>23</v>
      </c>
      <c r="B24" s="3" t="n">
        <v>5</v>
      </c>
      <c r="C24" s="4" t="inlineStr">
        <is>
          <t>Notifications, Go-Live &amp; Admin</t>
        </is>
      </c>
      <c r="D24" s="5" t="inlineStr">
        <is>
          <t>Notifications</t>
        </is>
      </c>
      <c r="E24" s="6" t="inlineStr">
        <is>
          <t>Email alerts (Resend)</t>
        </is>
      </c>
      <c r="F24" s="5" t="inlineStr">
        <is>
          <t>Wire transactional email via Resend so a tenant is notified — with the invoice reference and the exact reason — whenever clearance fails or a certificate is nearing expiry. On by default.</t>
        </is>
      </c>
      <c r="G24" s="5" t="inlineStr">
        <is>
          <t>Tenants emailed on failures and CSID expiry</t>
        </is>
      </c>
      <c r="H24" s="2" t="inlineStr">
        <is>
          <t>Claude</t>
        </is>
      </c>
      <c r="I24" s="9" t="inlineStr">
        <is>
          <t>To Do</t>
        </is>
      </c>
      <c r="J24" s="2" t="inlineStr"/>
      <c r="K24" s="2" t="inlineStr"/>
      <c r="L24" s="5" t="inlineStr"/>
    </row>
    <row r="25" ht="60" customHeight="1">
      <c r="A25" s="2" t="n">
        <v>24</v>
      </c>
      <c r="B25" s="3" t="n">
        <v>5</v>
      </c>
      <c r="C25" s="4" t="inlineStr">
        <is>
          <t>Notifications, Go-Live &amp; Admin</t>
        </is>
      </c>
      <c r="D25" s="5" t="inlineStr">
        <is>
          <t>Go-Live</t>
        </is>
      </c>
      <c r="E25" s="6" t="inlineStr">
        <is>
          <t>Demo -&gt; Real (production onboarding)</t>
        </is>
      </c>
      <c r="F25" s="5" t="inlineStr">
        <is>
          <t>Build the guided go-live flow: obtain a real OTP from the Fatoora portal, re-onboard the tenant against the core (production) environment, and store the live credentials separately from the Demo ones.</t>
        </is>
      </c>
      <c r="G25" s="5" t="inlineStr">
        <is>
          <t>A tenant can deliberately switch from Demo to Real</t>
        </is>
      </c>
      <c r="H25" s="2" t="inlineStr">
        <is>
          <t>Claude</t>
        </is>
      </c>
      <c r="I25" s="9" t="inlineStr">
        <is>
          <t>To Do</t>
        </is>
      </c>
      <c r="J25" s="2" t="inlineStr"/>
      <c r="K25" s="2" t="inlineStr"/>
      <c r="L25" s="5" t="inlineStr"/>
    </row>
    <row r="26" ht="46" customHeight="1">
      <c r="A26" s="2" t="n">
        <v>25</v>
      </c>
      <c r="B26" s="3" t="n">
        <v>5</v>
      </c>
      <c r="C26" s="4" t="inlineStr">
        <is>
          <t>Notifications, Go-Live &amp; Admin</t>
        </is>
      </c>
      <c r="D26" s="5" t="inlineStr">
        <is>
          <t>Reliability</t>
        </is>
      </c>
      <c r="E26" s="6" t="inlineStr">
        <is>
          <t>CSID expiry tracking + warnings</t>
        </is>
      </c>
      <c r="F26" s="5" t="inlineStr">
        <is>
          <t>Track each tenant's CSID expiry date and surface proactive warnings (dashboard + email) at 30 / 14 / 3 days so compliance never breaks silently.</t>
        </is>
      </c>
      <c r="G26" s="5" t="inlineStr">
        <is>
          <t>Expiry warnings fire ahead of time</t>
        </is>
      </c>
      <c r="H26" s="2" t="inlineStr">
        <is>
          <t>Claude</t>
        </is>
      </c>
      <c r="I26" s="9" t="inlineStr">
        <is>
          <t>To Do</t>
        </is>
      </c>
      <c r="J26" s="2" t="inlineStr"/>
      <c r="K26" s="2" t="inlineStr"/>
      <c r="L26" s="5" t="inlineStr"/>
    </row>
    <row r="27" ht="60" customHeight="1">
      <c r="A27" s="2" t="n">
        <v>26</v>
      </c>
      <c r="B27" s="3" t="n">
        <v>5</v>
      </c>
      <c r="C27" s="4" t="inlineStr">
        <is>
          <t>Notifications, Go-Live &amp; Admin</t>
        </is>
      </c>
      <c r="D27" s="5" t="inlineStr">
        <is>
          <t>Admin</t>
        </is>
      </c>
      <c r="E27" s="6" t="inlineStr">
        <is>
          <t>CBT internal admin console</t>
        </is>
      </c>
      <c r="F27" s="5" t="inlineStr">
        <is>
          <t>A minimal internal console for the Convergent team: cross-tenant list, per-tenant detail (onboarding status, invoices, logs), support actions (view error, re-trigger an invoice), and a queue of 'unsupported software' requests.</t>
        </is>
      </c>
      <c r="G27" s="5" t="inlineStr">
        <is>
          <t>Internal support tooling for the CBT team</t>
        </is>
      </c>
      <c r="H27" s="2" t="inlineStr">
        <is>
          <t>Claude</t>
        </is>
      </c>
      <c r="I27" s="9" t="inlineStr">
        <is>
          <t>To Do</t>
        </is>
      </c>
      <c r="J27" s="2" t="inlineStr"/>
      <c r="K27" s="2" t="inlineStr"/>
      <c r="L27" s="5" t="inlineStr"/>
    </row>
    <row r="28" ht="46" customHeight="1">
      <c r="A28" s="2" t="n">
        <v>27</v>
      </c>
      <c r="B28" s="3" t="n">
        <v>5</v>
      </c>
      <c r="C28" s="4" t="inlineStr">
        <is>
          <t>Notifications, Go-Live &amp; Admin</t>
        </is>
      </c>
      <c r="D28" s="5" t="inlineStr">
        <is>
          <t>Docs</t>
        </is>
      </c>
      <c r="E28" s="6" t="inlineStr">
        <is>
          <t>Customer API docs + self-serve guides</t>
        </is>
      </c>
      <c r="F28" s="5" t="inlineStr">
        <is>
          <t>Publish the headless-API (Mode B) reference and polished self-serve setup tutorials for Odoo, Zoho and the API so customers can onboard without assistance.</t>
        </is>
      </c>
      <c r="G28" s="5" t="inlineStr">
        <is>
          <t>Customer-facing documentation available in-app</t>
        </is>
      </c>
      <c r="H28" s="2" t="inlineStr">
        <is>
          <t>Claude</t>
        </is>
      </c>
      <c r="I28" s="9" t="inlineStr">
        <is>
          <t>To Do</t>
        </is>
      </c>
      <c r="J28" s="2" t="inlineStr"/>
      <c r="K28" s="2" t="inlineStr"/>
      <c r="L28" s="5" t="inlineStr"/>
    </row>
    <row r="29" ht="60" customHeight="1">
      <c r="A29" s="2" t="n">
        <v>28</v>
      </c>
      <c r="B29" s="8" t="n">
        <v>6</v>
      </c>
      <c r="C29" s="4" t="inlineStr">
        <is>
          <t>Testing &amp; QA</t>
        </is>
      </c>
      <c r="D29" s="5" t="inlineStr">
        <is>
          <t>Testing</t>
        </is>
      </c>
      <c r="E29" s="6" t="inlineStr">
        <is>
          <t>Unit tests for the compliance core</t>
        </is>
      </c>
      <c r="F29" s="5" t="inlineStr">
        <is>
          <t>Automated unit tests for the compliance-critical code: hashing, canonicalization, ECDSA signing, TLV/QR encoding, and the BR-KSA validation rules (~25). Target high coverage on the core.</t>
        </is>
      </c>
      <c r="G29" s="5" t="inlineStr">
        <is>
          <t>Core unit suite green (~90% coverage)</t>
        </is>
      </c>
      <c r="H29" s="2" t="inlineStr">
        <is>
          <t>Claude</t>
        </is>
      </c>
      <c r="I29" s="9" t="inlineStr">
        <is>
          <t>To Do</t>
        </is>
      </c>
      <c r="J29" s="2" t="inlineStr"/>
      <c r="K29" s="2" t="inlineStr"/>
      <c r="L29" s="5" t="inlineStr"/>
    </row>
    <row r="30" ht="46" customHeight="1">
      <c r="A30" s="2" t="n">
        <v>29</v>
      </c>
      <c r="B30" s="8" t="n">
        <v>6</v>
      </c>
      <c r="C30" s="4" t="inlineStr">
        <is>
          <t>Testing &amp; QA</t>
        </is>
      </c>
      <c r="D30" s="5" t="inlineStr">
        <is>
          <t>Testing</t>
        </is>
      </c>
      <c r="E30" s="6" t="inlineStr">
        <is>
          <t>Integration tests</t>
        </is>
      </c>
      <c r="F30" s="5" t="inlineStr">
        <is>
          <t>Integration tests for the Odoo/Zoho adapters, the job queue (retry + idempotency) and write-back, exercised against mocked and simulation endpoints.</t>
        </is>
      </c>
      <c r="G30" s="5" t="inlineStr">
        <is>
          <t>Green integration suite</t>
        </is>
      </c>
      <c r="H30" s="2" t="inlineStr">
        <is>
          <t>Claude</t>
        </is>
      </c>
      <c r="I30" s="9" t="inlineStr">
        <is>
          <t>To Do</t>
        </is>
      </c>
      <c r="J30" s="2" t="inlineStr"/>
      <c r="K30" s="2" t="inlineStr"/>
      <c r="L30" s="5" t="inlineStr"/>
    </row>
    <row r="31" ht="46" customHeight="1">
      <c r="A31" s="2" t="n">
        <v>30</v>
      </c>
      <c r="B31" s="8" t="n">
        <v>6</v>
      </c>
      <c r="C31" s="4" t="inlineStr">
        <is>
          <t>Testing &amp; QA</t>
        </is>
      </c>
      <c r="D31" s="5" t="inlineStr">
        <is>
          <t>Testing</t>
        </is>
      </c>
      <c r="E31" s="6" t="inlineStr">
        <is>
          <t>End-to-end (Playwright) tests</t>
        </is>
      </c>
      <c r="F31" s="5" t="inlineStr">
        <is>
          <t>Automated end-to-end tests for the critical user journeys: full onboarding, an invoice clearing through the pipeline, and the failure/retry path.</t>
        </is>
      </c>
      <c r="G31" s="5" t="inlineStr">
        <is>
          <t>Critical journeys automated and passing</t>
        </is>
      </c>
      <c r="H31" s="2" t="inlineStr">
        <is>
          <t>Claude</t>
        </is>
      </c>
      <c r="I31" s="9" t="inlineStr">
        <is>
          <t>To Do</t>
        </is>
      </c>
      <c r="J31" s="2" t="inlineStr"/>
      <c r="K31" s="2" t="inlineStr"/>
      <c r="L31" s="5" t="inlineStr"/>
    </row>
    <row r="32" ht="46" customHeight="1">
      <c r="A32" s="2" t="n">
        <v>31</v>
      </c>
      <c r="B32" s="8" t="n">
        <v>6</v>
      </c>
      <c r="C32" s="4" t="inlineStr">
        <is>
          <t>Testing &amp; QA</t>
        </is>
      </c>
      <c r="D32" s="5" t="inlineStr">
        <is>
          <t>Testing</t>
        </is>
      </c>
      <c r="E32" s="6" t="inlineStr">
        <is>
          <t>Compliance validation gate</t>
        </is>
      </c>
      <c r="F32" s="5" t="inlineStr">
        <is>
          <t>Re-validate clearance, reporting and credit/debit notes against the ZATCA SDK and simulation as an explicit compliance gate before deployment.</t>
        </is>
      </c>
      <c r="G32" s="5" t="inlineStr">
        <is>
          <t>Compliance validation passes for all document types</t>
        </is>
      </c>
      <c r="H32" s="2" t="inlineStr">
        <is>
          <t>Claude</t>
        </is>
      </c>
      <c r="I32" s="9" t="inlineStr">
        <is>
          <t>To Do</t>
        </is>
      </c>
      <c r="J32" s="2" t="inlineStr"/>
      <c r="K32" s="2" t="inlineStr"/>
      <c r="L32" s="5" t="inlineStr"/>
    </row>
    <row r="33" ht="46" customHeight="1">
      <c r="A33" s="2" t="n">
        <v>32</v>
      </c>
      <c r="B33" s="8" t="n">
        <v>6</v>
      </c>
      <c r="C33" s="4" t="inlineStr">
        <is>
          <t>Testing &amp; QA</t>
        </is>
      </c>
      <c r="D33" s="5" t="inlineStr">
        <is>
          <t>Security</t>
        </is>
      </c>
      <c r="E33" s="6" t="inlineStr">
        <is>
          <t>Security &amp; isolation pass</t>
        </is>
      </c>
      <c r="F33" s="5" t="inlineStr">
        <is>
          <t>Security review: RLS tenant-isolation tests, secret-handling audit, API-key authentication, and rate-limiting on public endpoints.</t>
        </is>
      </c>
      <c r="G33" s="5" t="inlineStr">
        <is>
          <t>Security checklist cleared</t>
        </is>
      </c>
      <c r="H33" s="2" t="inlineStr">
        <is>
          <t>Claude</t>
        </is>
      </c>
      <c r="I33" s="9" t="inlineStr">
        <is>
          <t>To Do</t>
        </is>
      </c>
      <c r="J33" s="2" t="inlineStr"/>
      <c r="K33" s="2" t="inlineStr"/>
      <c r="L33" s="5" t="inlineStr"/>
    </row>
    <row r="34" ht="46" customHeight="1">
      <c r="A34" s="2" t="n">
        <v>33</v>
      </c>
      <c r="B34" s="8" t="n">
        <v>6</v>
      </c>
      <c r="C34" s="4" t="inlineStr">
        <is>
          <t>Testing &amp; QA</t>
        </is>
      </c>
      <c r="D34" s="5" t="inlineStr">
        <is>
          <t>Testing</t>
        </is>
      </c>
      <c r="E34" s="6" t="inlineStr">
        <is>
          <t>Bug triage &amp; stabilization</t>
        </is>
      </c>
      <c r="F34" s="5" t="inlineStr">
        <is>
          <t>Triage and fix all defects found during testing; stabilize the build so it is release-ready.</t>
        </is>
      </c>
      <c r="G34" s="5" t="inlineStr">
        <is>
          <t>No open blocking defects</t>
        </is>
      </c>
      <c r="H34" s="2" t="inlineStr">
        <is>
          <t>Claude</t>
        </is>
      </c>
      <c r="I34" s="9" t="inlineStr">
        <is>
          <t>To Do</t>
        </is>
      </c>
      <c r="J34" s="2" t="inlineStr"/>
      <c r="K34" s="2" t="inlineStr"/>
      <c r="L34" s="5" t="inlineStr"/>
    </row>
    <row r="35" ht="60" customHeight="1">
      <c r="A35" s="2" t="n">
        <v>34</v>
      </c>
      <c r="B35" s="3" t="n">
        <v>7</v>
      </c>
      <c r="C35" s="4" t="inlineStr">
        <is>
          <t>Hardening, Deploy &amp; Launch</t>
        </is>
      </c>
      <c r="D35" s="5" t="inlineStr">
        <is>
          <t>Deploy</t>
        </is>
      </c>
      <c r="E35" s="6" t="inlineStr">
        <is>
          <t>Vercel production deployment</t>
        </is>
      </c>
      <c r="F35" s="5" t="inlineStr">
        <is>
          <t>Deploy the multi-tenant application to Vercel production with all environment variables configured (Supabase keys, encryption master key, ZATCA endpoints, Resend) and the build pipeline green.</t>
        </is>
      </c>
      <c r="G35" s="5" t="inlineStr">
        <is>
          <t>Live public URL; application boots in production</t>
        </is>
      </c>
      <c r="H35" s="2" t="inlineStr">
        <is>
          <t>Claude + User</t>
        </is>
      </c>
      <c r="I35" s="9" t="inlineStr">
        <is>
          <t>To Do</t>
        </is>
      </c>
      <c r="J35" s="2" t="inlineStr"/>
      <c r="K35" s="2" t="inlineStr"/>
      <c r="L35" s="5" t="inlineStr">
        <is>
          <t>user provides Vercel account</t>
        </is>
      </c>
    </row>
    <row r="36" ht="60" customHeight="1">
      <c r="A36" s="2" t="n">
        <v>35</v>
      </c>
      <c r="B36" s="3" t="n">
        <v>7</v>
      </c>
      <c r="C36" s="4" t="inlineStr">
        <is>
          <t>Hardening, Deploy &amp; Launch</t>
        </is>
      </c>
      <c r="D36" s="5" t="inlineStr">
        <is>
          <t>Deploy</t>
        </is>
      </c>
      <c r="E36" s="6" t="inlineStr">
        <is>
          <t>Wire production auth + webhook URLs</t>
        </is>
      </c>
      <c r="F36" s="5" t="inlineStr">
        <is>
          <t>Update the Google OAuth and Supabase Site/redirect URLs to the live domain so authentication works in production and the cloud Odoo/Zoho can reach the inbound webhooks (which localhost cannot).</t>
        </is>
      </c>
      <c r="G36" s="5" t="inlineStr">
        <is>
          <t>Auth and inbound ERP webhooks work in production</t>
        </is>
      </c>
      <c r="H36" s="2" t="inlineStr">
        <is>
          <t>Claude + User</t>
        </is>
      </c>
      <c r="I36" s="9" t="inlineStr">
        <is>
          <t>To Do</t>
        </is>
      </c>
      <c r="J36" s="2" t="inlineStr"/>
      <c r="K36" s="2" t="inlineStr"/>
      <c r="L36" s="5" t="inlineStr"/>
    </row>
    <row r="37" ht="46" customHeight="1">
      <c r="A37" s="2" t="n">
        <v>36</v>
      </c>
      <c r="B37" s="3" t="n">
        <v>7</v>
      </c>
      <c r="C37" s="4" t="inlineStr">
        <is>
          <t>Hardening, Deploy &amp; Launch</t>
        </is>
      </c>
      <c r="D37" s="5" t="inlineStr">
        <is>
          <t>Deploy</t>
        </is>
      </c>
      <c r="E37" s="6" t="inlineStr">
        <is>
          <t>Smoke tests + monitoring</t>
        </is>
      </c>
      <c r="F37" s="5" t="inlineStr">
        <is>
          <t>Run production smoke tests and stand up logging plus basic monitoring/alerting so issues are observable.</t>
        </is>
      </c>
      <c r="G37" s="5" t="inlineStr">
        <is>
          <t>Verified, observable production environment</t>
        </is>
      </c>
      <c r="H37" s="2" t="inlineStr">
        <is>
          <t>Claude</t>
        </is>
      </c>
      <c r="I37" s="9" t="inlineStr">
        <is>
          <t>To Do</t>
        </is>
      </c>
      <c r="J37" s="2" t="inlineStr"/>
      <c r="K37" s="2" t="inlineStr"/>
      <c r="L37" s="5" t="inlineStr"/>
    </row>
    <row r="38" ht="46" customHeight="1">
      <c r="A38" s="2" t="n">
        <v>37</v>
      </c>
      <c r="B38" s="3" t="n">
        <v>7</v>
      </c>
      <c r="C38" s="4" t="inlineStr">
        <is>
          <t>Hardening, Deploy &amp; Launch</t>
        </is>
      </c>
      <c r="D38" s="5" t="inlineStr">
        <is>
          <t>Launch</t>
        </is>
      </c>
      <c r="E38" s="6" t="inlineStr">
        <is>
          <t>Documentation + demo walkthrough</t>
        </is>
      </c>
      <c r="F38" s="5" t="inlineStr">
        <is>
          <t>Finalize the handoff documentation and deliver a live demo walkthrough of the complete product for stakeholders.</t>
        </is>
      </c>
      <c r="G38" s="5" t="inlineStr">
        <is>
          <t>Handoff package + stakeholder demo</t>
        </is>
      </c>
      <c r="H38" s="2" t="inlineStr">
        <is>
          <t>Claude</t>
        </is>
      </c>
      <c r="I38" s="9" t="inlineStr">
        <is>
          <t>To Do</t>
        </is>
      </c>
      <c r="J38" s="2" t="inlineStr"/>
      <c r="K38" s="2" t="inlineStr"/>
      <c r="L38" s="5" t="inlineStr"/>
    </row>
    <row r="39" ht="60" customHeight="1">
      <c r="A39" s="2" t="n">
        <v>38</v>
      </c>
      <c r="B39" s="3" t="n">
        <v>7</v>
      </c>
      <c r="C39" s="4" t="inlineStr">
        <is>
          <t>Hardening, Deploy &amp; Launch</t>
        </is>
      </c>
      <c r="D39" s="5" t="inlineStr">
        <is>
          <t>Launch</t>
        </is>
      </c>
      <c r="E39" s="6" t="inlineStr">
        <is>
          <t>UAT vs real ZATCA + production cutover</t>
        </is>
      </c>
      <c r="F39" s="5" t="inlineStr">
        <is>
          <t>Run User Acceptance Testing against the real ZATCA environment with a registered device, and prepare the production cutover. Note: depends on ZATCA granting production access (external) and may extend beyond the week.</t>
        </is>
      </c>
      <c r="G39" s="5" t="inlineStr">
        <is>
          <t>Go-live readiness sign-off</t>
        </is>
      </c>
      <c r="H39" s="2" t="inlineStr">
        <is>
          <t>User + ZATCA</t>
        </is>
      </c>
      <c r="I39" s="9" t="inlineStr">
        <is>
          <t>To Do</t>
        </is>
      </c>
      <c r="J39" s="2" t="inlineStr"/>
      <c r="K39" s="2" t="inlineStr"/>
      <c r="L39" s="5" t="inlineStr">
        <is>
          <t>external dependency</t>
        </is>
      </c>
    </row>
    <row r="40" ht="46" customHeight="1">
      <c r="A40" s="2" t="n">
        <v>39</v>
      </c>
      <c r="B40" s="3" t="n">
        <v>7</v>
      </c>
      <c r="C40" s="4" t="inlineStr">
        <is>
          <t>Hardening, Deploy &amp; Launch</t>
        </is>
      </c>
      <c r="D40" s="5" t="inlineStr">
        <is>
          <t>Launch</t>
        </is>
      </c>
      <c r="E40" s="6" t="inlineStr">
        <is>
          <t>Go-to-market (parallel)</t>
        </is>
      </c>
      <c r="F40" s="5" t="inlineStr">
        <is>
          <t>In parallel: publish SEO/AEO-optimized content on the Convergent (CBT) website so the free ZATCA-integration product is discoverable by search engines and AI assistants.</t>
        </is>
      </c>
      <c r="G40" s="5" t="inlineStr">
        <is>
          <t>Product discoverable; marketing live</t>
        </is>
      </c>
      <c r="H40" s="2" t="inlineStr">
        <is>
          <t>User</t>
        </is>
      </c>
      <c r="I40" s="9" t="inlineStr">
        <is>
          <t>To Do</t>
        </is>
      </c>
      <c r="J40" s="2" t="inlineStr"/>
      <c r="K40" s="2" t="inlineStr"/>
      <c r="L40" s="5" t="inlineStr">
        <is>
          <t>GTM track</t>
        </is>
      </c>
    </row>
  </sheetData>
  <autoFilter ref="A1:L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1" t="inlineStr">
        <is>
          <t>ZATCA Compliance Middleware — 7-Day Plan to Production</t>
        </is>
      </c>
    </row>
    <row r="2">
      <c r="A2" s="12" t="inlineStr">
        <is>
          <t>Convergent BT  ·  Demo build on ZATCA simulation -&gt; UAT -&gt; Production</t>
        </is>
      </c>
    </row>
    <row r="4">
      <c r="A4" s="13" t="inlineStr">
        <is>
          <t>Overall</t>
        </is>
      </c>
    </row>
    <row r="5">
      <c r="A5" s="14" t="inlineStr">
        <is>
          <t>Total tasks</t>
        </is>
      </c>
      <c r="B5" s="15">
        <f>COUNTA('7-Day Plan'!E2:E40)</f>
        <v/>
      </c>
    </row>
    <row r="6">
      <c r="A6" s="14" t="inlineStr">
        <is>
          <t>Done</t>
        </is>
      </c>
      <c r="B6" s="15">
        <f>COUNTIF('7-Day Plan'!I2:I40,"Done")</f>
        <v/>
      </c>
    </row>
    <row r="7">
      <c r="A7" s="14" t="inlineStr">
        <is>
          <t>In Progress</t>
        </is>
      </c>
      <c r="B7" s="15">
        <f>COUNTIF('7-Day Plan'!I2:I40,"In Progress")</f>
        <v/>
      </c>
    </row>
    <row r="8">
      <c r="A8" s="14" t="inlineStr">
        <is>
          <t>To Do</t>
        </is>
      </c>
      <c r="B8" s="15">
        <f>COUNTIF('7-Day Plan'!I2:I40,"To Do")</f>
        <v/>
      </c>
    </row>
    <row r="9">
      <c r="A9" s="14" t="inlineStr">
        <is>
          <t>% Complete</t>
        </is>
      </c>
      <c r="B9" s="16">
        <f>COUNTIF('7-Day Plan'!I2:I40,"Done")/COUNTA('7-Day Plan'!E2:E40)</f>
        <v/>
      </c>
    </row>
    <row r="12">
      <c r="A12" s="17" t="inlineStr">
        <is>
          <t>Day</t>
        </is>
      </c>
      <c r="B12" s="17" t="inlineStr">
        <is>
          <t>Theme</t>
        </is>
      </c>
      <c r="C12" s="17" t="inlineStr">
        <is>
          <t>Tasks</t>
        </is>
      </c>
      <c r="D12" s="17" t="inlineStr">
        <is>
          <t>Done</t>
        </is>
      </c>
      <c r="E12" s="17" t="inlineStr">
        <is>
          <t>In Prog.</t>
        </is>
      </c>
      <c r="F12" s="17" t="inlineStr">
        <is>
          <t>To Do</t>
        </is>
      </c>
    </row>
    <row r="13">
      <c r="A13" s="18" t="n">
        <v>1</v>
      </c>
      <c r="B13" s="19" t="inlineStr">
        <is>
          <t>Foundation &amp; Infrastructure</t>
        </is>
      </c>
      <c r="C13" s="18">
        <f>COUNTIF('7-Day Plan'!B2:B40,1)</f>
        <v/>
      </c>
      <c r="D13" s="18">
        <f>COUNTIFS('7-Day Plan'!B2:B40,1,'7-Day Plan'!I2:I40,"Done")</f>
        <v/>
      </c>
      <c r="E13" s="18">
        <f>COUNTIFS('7-Day Plan'!B2:B40,1,'7-Day Plan'!I2:I40,"In Progress")</f>
        <v/>
      </c>
      <c r="F13" s="18">
        <f>COUNTIFS('7-Day Plan'!B2:B40,1,'7-Day Plan'!I2:I40,"To Do")</f>
        <v/>
      </c>
    </row>
    <row r="14">
      <c r="A14" s="18" t="n">
        <v>2</v>
      </c>
      <c r="B14" s="19" t="inlineStr">
        <is>
          <t>ZATCA Core &amp; Onboarding</t>
        </is>
      </c>
      <c r="C14" s="18">
        <f>COUNTIF('7-Day Plan'!B2:B40,2)</f>
        <v/>
      </c>
      <c r="D14" s="18">
        <f>COUNTIFS('7-Day Plan'!B2:B40,2,'7-Day Plan'!I2:I40,"Done")</f>
        <v/>
      </c>
      <c r="E14" s="18">
        <f>COUNTIFS('7-Day Plan'!B2:B40,2,'7-Day Plan'!I2:I40,"In Progress")</f>
        <v/>
      </c>
      <c r="F14" s="18">
        <f>COUNTIFS('7-Day Plan'!B2:B40,2,'7-Day Plan'!I2:I40,"To Do")</f>
        <v/>
      </c>
    </row>
    <row r="15">
      <c r="A15" s="18" t="n">
        <v>3</v>
      </c>
      <c r="B15" s="19" t="inlineStr">
        <is>
          <t>Adapters &amp; Async Pipeline</t>
        </is>
      </c>
      <c r="C15" s="18">
        <f>COUNTIF('7-Day Plan'!B2:B40,3)</f>
        <v/>
      </c>
      <c r="D15" s="18">
        <f>COUNTIFS('7-Day Plan'!B2:B40,3,'7-Day Plan'!I2:I40,"Done")</f>
        <v/>
      </c>
      <c r="E15" s="18">
        <f>COUNTIFS('7-Day Plan'!B2:B40,3,'7-Day Plan'!I2:I40,"In Progress")</f>
        <v/>
      </c>
      <c r="F15" s="18">
        <f>COUNTIFS('7-Day Plan'!B2:B40,3,'7-Day Plan'!I2:I40,"To Do")</f>
        <v/>
      </c>
    </row>
    <row r="16">
      <c r="A16" s="18" t="n">
        <v>4</v>
      </c>
      <c r="B16" s="19" t="inlineStr">
        <is>
          <t>Application Surfaces (UX)</t>
        </is>
      </c>
      <c r="C16" s="18">
        <f>COUNTIF('7-Day Plan'!B2:B40,4)</f>
        <v/>
      </c>
      <c r="D16" s="18">
        <f>COUNTIFS('7-Day Plan'!B2:B40,4,'7-Day Plan'!I2:I40,"Done")</f>
        <v/>
      </c>
      <c r="E16" s="18">
        <f>COUNTIFS('7-Day Plan'!B2:B40,4,'7-Day Plan'!I2:I40,"In Progress")</f>
        <v/>
      </c>
      <c r="F16" s="18">
        <f>COUNTIFS('7-Day Plan'!B2:B40,4,'7-Day Plan'!I2:I40,"To Do")</f>
        <v/>
      </c>
    </row>
    <row r="17">
      <c r="A17" s="18" t="n">
        <v>5</v>
      </c>
      <c r="B17" s="19" t="inlineStr">
        <is>
          <t>Notifications, Go-Live &amp; Admin</t>
        </is>
      </c>
      <c r="C17" s="18">
        <f>COUNTIF('7-Day Plan'!B2:B40,5)</f>
        <v/>
      </c>
      <c r="D17" s="18">
        <f>COUNTIFS('7-Day Plan'!B2:B40,5,'7-Day Plan'!I2:I40,"Done")</f>
        <v/>
      </c>
      <c r="E17" s="18">
        <f>COUNTIFS('7-Day Plan'!B2:B40,5,'7-Day Plan'!I2:I40,"In Progress")</f>
        <v/>
      </c>
      <c r="F17" s="18">
        <f>COUNTIFS('7-Day Plan'!B2:B40,5,'7-Day Plan'!I2:I40,"To Do")</f>
        <v/>
      </c>
    </row>
    <row r="18">
      <c r="A18" s="18" t="n">
        <v>6</v>
      </c>
      <c r="B18" s="19" t="inlineStr">
        <is>
          <t>Testing &amp; QA</t>
        </is>
      </c>
      <c r="C18" s="18">
        <f>COUNTIF('7-Day Plan'!B2:B40,6)</f>
        <v/>
      </c>
      <c r="D18" s="18">
        <f>COUNTIFS('7-Day Plan'!B2:B40,6,'7-Day Plan'!I2:I40,"Done")</f>
        <v/>
      </c>
      <c r="E18" s="18">
        <f>COUNTIFS('7-Day Plan'!B2:B40,6,'7-Day Plan'!I2:I40,"In Progress")</f>
        <v/>
      </c>
      <c r="F18" s="18">
        <f>COUNTIFS('7-Day Plan'!B2:B40,6,'7-Day Plan'!I2:I40,"To Do")</f>
        <v/>
      </c>
    </row>
    <row r="19">
      <c r="A19" s="18" t="n">
        <v>7</v>
      </c>
      <c r="B19" s="19" t="inlineStr">
        <is>
          <t>Hardening, Deploy &amp; Launch</t>
        </is>
      </c>
      <c r="C19" s="18">
        <f>COUNTIF('7-Day Plan'!B2:B40,7)</f>
        <v/>
      </c>
      <c r="D19" s="18">
        <f>COUNTIFS('7-Day Plan'!B2:B40,7,'7-Day Plan'!I2:I40,"Done")</f>
        <v/>
      </c>
      <c r="E19" s="18">
        <f>COUNTIFS('7-Day Plan'!B2:B40,7,'7-Day Plan'!I2:I40,"In Progress")</f>
        <v/>
      </c>
      <c r="F19" s="18">
        <f>COUNTIFS('7-Day Plan'!B2:B40,7,'7-Day Plan'!I2:I40,"To Do")</f>
        <v/>
      </c>
    </row>
    <row r="22">
      <c r="A22" s="15" t="inlineStr">
        <is>
          <t>Legend</t>
        </is>
      </c>
    </row>
    <row r="23">
      <c r="A23" s="20" t="inlineStr">
        <is>
          <t>Done</t>
        </is>
      </c>
    </row>
    <row r="24">
      <c r="A24" s="21" t="inlineStr">
        <is>
          <t>In Progress</t>
        </is>
      </c>
    </row>
    <row r="25">
      <c r="A25" s="22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2026-06-22T07:15:26Z</dcterms:created>
  <dcterms:modified xmlns:dcterms="http://purl.org/dc/terms/" xmlns:xsi="http://www.w3.org/2001/XMLSchema-instance" xsi:type="dcterms:W3CDTF">2026-06-22T07:15:27Z</dcterms:modified>
</cp:coreProperties>
</file>